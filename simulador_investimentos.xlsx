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area de trabalho backup\CURSOS\Excel com IA\"/>
    </mc:Choice>
  </mc:AlternateContent>
  <xr:revisionPtr revIDLastSave="0" documentId="13_ncr:1_{7B48C13E-482A-44F1-9B2A-097377D281FC}" xr6:coauthVersionLast="47" xr6:coauthVersionMax="47" xr10:uidLastSave="{00000000-0000-0000-0000-000000000000}"/>
  <bookViews>
    <workbookView xWindow="-108" yWindow="-108" windowWidth="23256" windowHeight="12456" xr2:uid="{85F3E6FC-92CE-4A13-9CA7-5801AAA6483C}"/>
  </bookViews>
  <sheets>
    <sheet name="SIMULADOR" sheetId="1" r:id="rId1"/>
    <sheet name="referencia" sheetId="2" r:id="rId2"/>
  </sheets>
  <definedNames>
    <definedName name="aporte">SIMULADOR!$D$18</definedName>
    <definedName name="qtd_anos">SIMULADOR!$D$19</definedName>
    <definedName name="rendimento_carteira">SIMULADOR!$D$13</definedName>
    <definedName name="taxa_mensal">SIMULADOR!$D$20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1" l="1"/>
  <c r="D36" i="1" s="1"/>
  <c r="C37" i="1"/>
  <c r="D37" i="1" s="1"/>
  <c r="C38" i="1"/>
  <c r="D38" i="1" s="1"/>
  <c r="C39" i="1"/>
  <c r="D39" i="1" s="1"/>
  <c r="C40" i="1"/>
  <c r="D40" i="1" s="1"/>
  <c r="C35" i="1"/>
  <c r="D35" i="1" s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32" i="1"/>
  <c r="C25" i="1"/>
  <c r="D25" i="1" s="1"/>
  <c r="C29" i="1"/>
  <c r="D29" i="1" s="1"/>
  <c r="C26" i="1"/>
  <c r="D26" i="1" s="1"/>
  <c r="C27" i="1"/>
  <c r="D27" i="1" s="1"/>
  <c r="C28" i="1"/>
  <c r="D28" i="1" s="1"/>
  <c r="D21" i="1"/>
  <c r="D22" i="1" s="1"/>
  <c r="D15" i="1"/>
</calcChain>
</file>

<file path=xl/sharedStrings.xml><?xml version="1.0" encoding="utf-8"?>
<sst xmlns="http://schemas.openxmlformats.org/spreadsheetml/2006/main" count="70" uniqueCount="34">
  <si>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</si>
  <si>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</si>
  <si>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</si>
  <si>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</si>
  <si>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</si>
  <si>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</si>
  <si>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Dividendos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</si>
  <si>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</si>
  <si>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</si>
  <si>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</si>
  <si>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</si>
  <si>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</si>
  <si>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</si>
  <si>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Configurações</t>
  </si>
  <si>
    <t>Salário</t>
  </si>
  <si>
    <t>Rendimento Carteira</t>
  </si>
  <si>
    <t>Sugestão de Investimento</t>
  </si>
  <si>
    <t>Porcentagem de investimento</t>
  </si>
  <si>
    <t>PERFIL</t>
  </si>
  <si>
    <t>VALOR A SER INVESTIDO POR MÊS</t>
  </si>
  <si>
    <t>Conservador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</si>
  <si>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</si>
  <si>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</si>
  <si>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</si>
  <si>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</si>
  <si>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</si>
  <si>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</si>
  <si>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</si>
  <si>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</si>
  <si>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</t>
  </si>
  <si>
    <t xml:space="preserve">% </t>
  </si>
  <si>
    <t>Moderado</t>
  </si>
  <si>
    <t>Agressivo</t>
  </si>
  <si>
    <t>Chave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</si>
</sst>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6" formatCode="&quot;£&quot;#,##0.00"/>
    <numFmt numFmtId="167" formatCode="#,##0.00\ [$€-816]"/>
  </numFmts>
  <fonts count="7" x14ac:knownFonts="1">
    <font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6" tint="0.79998168889431442"/>
      </bottom>
      <diagonal/>
    </border>
    <border>
      <left/>
      <right/>
      <top style="medium">
        <color indexed="64"/>
      </top>
      <bottom style="thin">
        <color theme="6" tint="0.7999816888943144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6" tint="0.79998168889431442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6" tint="0.79998168889431442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6" tint="0.79998168889431442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4" borderId="0" applyNumberFormat="0" applyBorder="0" applyAlignment="0" applyProtection="0"/>
  </cellStyleXfs>
  <cellXfs count="53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left" indent="2"/>
    </xf>
    <xf numFmtId="0" fontId="0" fillId="0" borderId="7" xfId="0" applyFont="1" applyBorder="1" applyAlignment="1">
      <alignment horizontal="left" indent="2"/>
    </xf>
    <xf numFmtId="0" fontId="3" fillId="5" borderId="7" xfId="0" applyFont="1" applyFill="1" applyBorder="1" applyAlignment="1">
      <alignment horizontal="left" indent="2"/>
    </xf>
    <xf numFmtId="0" fontId="0" fillId="5" borderId="6" xfId="0" applyFont="1" applyFill="1" applyBorder="1" applyAlignment="1">
      <alignment horizontal="left" indent="2"/>
    </xf>
    <xf numFmtId="0" fontId="0" fillId="5" borderId="7" xfId="0" applyFont="1" applyFill="1" applyBorder="1" applyAlignment="1">
      <alignment horizontal="left" indent="2"/>
    </xf>
    <xf numFmtId="166" fontId="0" fillId="5" borderId="8" xfId="1" applyNumberFormat="1" applyFont="1" applyFill="1" applyBorder="1" applyAlignment="1">
      <alignment horizontal="center" vertical="center"/>
    </xf>
    <xf numFmtId="166" fontId="0" fillId="5" borderId="7" xfId="1" applyNumberFormat="1" applyFont="1" applyFill="1" applyBorder="1" applyAlignment="1">
      <alignment horizontal="center" vertical="center"/>
    </xf>
    <xf numFmtId="0" fontId="0" fillId="5" borderId="9" xfId="0" applyFont="1" applyFill="1" applyBorder="1" applyAlignment="1">
      <alignment horizontal="left" indent="2"/>
    </xf>
    <xf numFmtId="166" fontId="0" fillId="0" borderId="10" xfId="0" applyNumberFormat="1" applyBorder="1" applyAlignment="1">
      <alignment horizontal="center" vertical="center"/>
    </xf>
    <xf numFmtId="0" fontId="0" fillId="5" borderId="11" xfId="0" applyFont="1" applyFill="1" applyBorder="1" applyAlignment="1">
      <alignment horizontal="left" indent="2"/>
    </xf>
    <xf numFmtId="10" fontId="0" fillId="0" borderId="12" xfId="0" applyNumberFormat="1" applyBorder="1" applyAlignment="1">
      <alignment horizontal="center" vertical="center"/>
    </xf>
    <xf numFmtId="0" fontId="3" fillId="5" borderId="13" xfId="0" applyFont="1" applyFill="1" applyBorder="1" applyAlignment="1">
      <alignment horizontal="left" indent="2"/>
    </xf>
    <xf numFmtId="0" fontId="3" fillId="5" borderId="14" xfId="0" applyFont="1" applyFill="1" applyBorder="1" applyAlignment="1">
      <alignment horizontal="left" indent="2"/>
    </xf>
    <xf numFmtId="166" fontId="3" fillId="5" borderId="15" xfId="0" applyNumberFormat="1" applyFont="1" applyFill="1" applyBorder="1" applyAlignment="1">
      <alignment horizontal="center" vertical="center"/>
    </xf>
    <xf numFmtId="0" fontId="0" fillId="0" borderId="9" xfId="0" applyFont="1" applyBorder="1" applyAlignment="1">
      <alignment horizontal="left" indent="2"/>
    </xf>
    <xf numFmtId="0" fontId="0" fillId="0" borderId="11" xfId="0" applyFont="1" applyBorder="1" applyAlignment="1">
      <alignment horizontal="left" indent="2"/>
    </xf>
    <xf numFmtId="1" fontId="0" fillId="0" borderId="12" xfId="0" applyNumberFormat="1" applyBorder="1" applyAlignment="1">
      <alignment horizontal="center" vertical="center"/>
    </xf>
    <xf numFmtId="0" fontId="3" fillId="5" borderId="11" xfId="0" applyFont="1" applyFill="1" applyBorder="1" applyAlignment="1">
      <alignment horizontal="left" indent="2"/>
    </xf>
    <xf numFmtId="166" fontId="0" fillId="5" borderId="12" xfId="0" applyNumberFormat="1" applyFill="1" applyBorder="1" applyAlignment="1">
      <alignment horizontal="center" vertical="center"/>
    </xf>
    <xf numFmtId="166" fontId="0" fillId="5" borderId="15" xfId="0" applyNumberFormat="1" applyFill="1" applyBorder="1" applyAlignment="1">
      <alignment horizontal="center" vertical="center"/>
    </xf>
    <xf numFmtId="0" fontId="0" fillId="5" borderId="16" xfId="0" applyFont="1" applyFill="1" applyBorder="1" applyAlignment="1">
      <alignment horizontal="left" indent="2"/>
    </xf>
    <xf numFmtId="166" fontId="3" fillId="5" borderId="10" xfId="0" applyNumberFormat="1" applyFont="1" applyFill="1" applyBorder="1" applyAlignment="1">
      <alignment horizontal="center"/>
    </xf>
    <xf numFmtId="0" fontId="0" fillId="5" borderId="11" xfId="0" applyFont="1" applyFill="1" applyBorder="1" applyAlignment="1">
      <alignment horizontal="left" indent="2"/>
    </xf>
    <xf numFmtId="166" fontId="3" fillId="5" borderId="12" xfId="0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horizontal="left" indent="2"/>
    </xf>
    <xf numFmtId="166" fontId="0" fillId="5" borderId="14" xfId="1" applyNumberFormat="1" applyFont="1" applyFill="1" applyBorder="1" applyAlignment="1">
      <alignment horizontal="center" vertical="center"/>
    </xf>
    <xf numFmtId="166" fontId="3" fillId="5" borderId="15" xfId="0" applyNumberFormat="1" applyFont="1" applyFill="1" applyBorder="1" applyAlignment="1">
      <alignment horizontal="center"/>
    </xf>
    <xf numFmtId="0" fontId="0" fillId="5" borderId="0" xfId="0" applyFont="1" applyFill="1" applyBorder="1" applyAlignment="1">
      <alignment horizontal="left" indent="2"/>
    </xf>
    <xf numFmtId="0" fontId="6" fillId="4" borderId="0" xfId="3" applyBorder="1" applyAlignment="1">
      <alignment horizontal="left" indent="2"/>
    </xf>
    <xf numFmtId="0" fontId="6" fillId="4" borderId="0" xfId="3" applyAlignment="1">
      <alignment horizontal="center"/>
    </xf>
    <xf numFmtId="0" fontId="0" fillId="0" borderId="0" xfId="0" applyAlignment="1">
      <alignment horizontal="center" vertical="center"/>
    </xf>
    <xf numFmtId="9" fontId="0" fillId="0" borderId="0" xfId="2" applyFont="1"/>
    <xf numFmtId="0" fontId="3" fillId="6" borderId="17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9" fontId="0" fillId="0" borderId="7" xfId="2" applyFont="1" applyBorder="1" applyAlignment="1">
      <alignment horizontal="center" vertical="center"/>
    </xf>
    <xf numFmtId="167" fontId="0" fillId="5" borderId="12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167" fontId="0" fillId="5" borderId="15" xfId="0" applyNumberFormat="1" applyFill="1" applyBorder="1" applyAlignment="1">
      <alignment horizontal="center" vertical="center"/>
    </xf>
    <xf numFmtId="167" fontId="0" fillId="5" borderId="0" xfId="0" applyNumberFormat="1" applyFill="1" applyAlignment="1">
      <alignment horizontal="center"/>
    </xf>
  </cellXfs>
  <cellStyles count="4">
    <cellStyle name="Currency" xfId="1" builtinId="4"/>
    <cellStyle name="Neutral" xfId="3" builtinId="28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CC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228600</xdr:colOff>
      <xdr:row>1</xdr:row>
      <xdr:rowOff>68580</xdr:rowOff>
    </xdr:from>
    <xdr:to>
      <xdr:col>4</xdr:col>
      <xdr:colOff>38100</xdr:colOff>
      <xdr:row>9</xdr:row>
      <xdr:rowOff>46340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4C93C003-175A-4603-B749-49590851C6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228600" y="251460"/>
          <a:ext cx="5806440" cy="1440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D4DC-D474-4316-AECD-EA449255227A}">
  <dimension ref="A1:J61"/>
  <sheetViews>
    <sheetView showGridLines="0" tabSelected="1" topLeftCell="A17" workbookViewId="0">
      <selection activeCell="H33" sqref="H33"/>
    </sheetView>
  </sheetViews>
  <sheetFormatPr defaultColWidth="0" defaultRowHeight="14.4" zeroHeight="1" x14ac:dyDescent="0.3"/>
  <cols>
    <col min="1" max="1" width="4.33203125" customWidth="1"/>
    <col min="2" max="2" width="36.6640625" customWidth="1"/>
    <col min="3" max="3" width="28.77734375" customWidth="1"/>
    <col min="4" max="4" width="17.6640625" customWidth="1"/>
    <col min="5" max="10" width="1.77734375" customWidth="1"/>
    <col min="11" max="16384" width="8.88671875" hidden="1"/>
  </cols>
  <sheetData>
    <row r="1" spans="1:4" x14ac:dyDescent="0.3"/>
    <row r="2" spans="1:4" x14ac:dyDescent="0.3"/>
    <row r="3" spans="1:4" x14ac:dyDescent="0.3"/>
    <row r="4" spans="1:4" x14ac:dyDescent="0.3"/>
    <row r="5" spans="1:4" x14ac:dyDescent="0.3"/>
    <row r="6" spans="1:4" x14ac:dyDescent="0.3"/>
    <row r="7" spans="1:4" x14ac:dyDescent="0.3"/>
    <row r="8" spans="1:4" x14ac:dyDescent="0.3"/>
    <row r="9" spans="1:4" x14ac:dyDescent="0.3"/>
    <row r="10" spans="1:4" ht="15" thickBot="1" x14ac:dyDescent="0.35"/>
    <row r="11" spans="1:4" ht="25.8" x14ac:dyDescent="0.3">
      <c r="B11" s="5" t="s">
        <v>13</v>
      </c>
      <c r="C11" s="6"/>
      <c r="D11" s="7"/>
    </row>
    <row r="12" spans="1:4" x14ac:dyDescent="0.3">
      <c r="B12" s="18" t="s">
        <v>14</v>
      </c>
      <c r="C12" s="14"/>
      <c r="D12" s="19">
        <v>1100</v>
      </c>
    </row>
    <row r="13" spans="1:4" x14ac:dyDescent="0.3">
      <c r="B13" s="20" t="s">
        <v>15</v>
      </c>
      <c r="C13" s="15"/>
      <c r="D13" s="21">
        <v>8.8999999999999999E-3</v>
      </c>
    </row>
    <row r="14" spans="1:4" x14ac:dyDescent="0.3">
      <c r="B14" s="20" t="s">
        <v>17</v>
      </c>
      <c r="C14" s="15"/>
      <c r="D14" s="21">
        <v>0.3</v>
      </c>
    </row>
    <row r="15" spans="1:4" ht="15" thickBot="1" x14ac:dyDescent="0.35">
      <c r="B15" s="22" t="s">
        <v>16</v>
      </c>
      <c r="C15" s="23"/>
      <c r="D15" s="24">
        <f>$D$12*$D$14</f>
        <v>330</v>
      </c>
    </row>
    <row r="16" spans="1:4" ht="15" thickBot="1" x14ac:dyDescent="0.35">
      <c r="A16" s="2"/>
    </row>
    <row r="17" spans="1:4" ht="25.8" x14ac:dyDescent="0.3">
      <c r="A17" s="2">
        <v>2</v>
      </c>
      <c r="B17" s="8" t="s">
        <v>0</v>
      </c>
      <c r="C17" s="9"/>
      <c r="D17" s="10"/>
    </row>
    <row r="18" spans="1:4" x14ac:dyDescent="0.3">
      <c r="A18" s="2">
        <v>5</v>
      </c>
      <c r="B18" s="25" t="s">
        <v>1</v>
      </c>
      <c r="C18" s="11"/>
      <c r="D18" s="19">
        <v>330</v>
      </c>
    </row>
    <row r="19" spans="1:4" x14ac:dyDescent="0.3">
      <c r="A19" s="2">
        <v>10</v>
      </c>
      <c r="B19" s="26" t="s">
        <v>2</v>
      </c>
      <c r="C19" s="12"/>
      <c r="D19" s="27">
        <v>5</v>
      </c>
    </row>
    <row r="20" spans="1:4" x14ac:dyDescent="0.3">
      <c r="A20" s="2">
        <v>20</v>
      </c>
      <c r="B20" s="26" t="s">
        <v>3</v>
      </c>
      <c r="C20" s="12"/>
      <c r="D20" s="21">
        <v>1.0789999999999999E-2</v>
      </c>
    </row>
    <row r="21" spans="1:4" x14ac:dyDescent="0.3">
      <c r="A21" s="2">
        <v>30</v>
      </c>
      <c r="B21" s="28" t="s">
        <v>4</v>
      </c>
      <c r="C21" s="13"/>
      <c r="D21" s="29">
        <f>FV(taxa_mensal,qtd_anos*12,aporte*-1)</f>
        <v>27646.381619500924</v>
      </c>
    </row>
    <row r="22" spans="1:4" ht="15" thickBot="1" x14ac:dyDescent="0.35">
      <c r="B22" s="22" t="s">
        <v>5</v>
      </c>
      <c r="C22" s="23"/>
      <c r="D22" s="30">
        <f>D21*rendimento_carteira</f>
        <v>246.05279641355821</v>
      </c>
    </row>
    <row r="23" spans="1:4" ht="15" thickBot="1" x14ac:dyDescent="0.35"/>
    <row r="24" spans="1:4" ht="25.8" x14ac:dyDescent="0.3">
      <c r="B24" s="3" t="s">
        <v>12</v>
      </c>
      <c r="C24" s="4"/>
      <c r="D24" s="1" t="s">
        <v>6</v>
      </c>
    </row>
    <row r="25" spans="1:4" x14ac:dyDescent="0.3">
      <c r="B25" s="31" t="s">
        <v>7</v>
      </c>
      <c r="C25" s="16">
        <f>FV(taxa_mensal,$A17*12,aporte*-1)</f>
        <v>8985.1170082229219</v>
      </c>
      <c r="D25" s="32">
        <f>$C25*rendimento_carteira</f>
        <v>79.967541373184005</v>
      </c>
    </row>
    <row r="26" spans="1:4" x14ac:dyDescent="0.3">
      <c r="B26" s="33" t="s">
        <v>8</v>
      </c>
      <c r="C26" s="17">
        <f>FV(taxa_mensal,$A18*12,aporte*-1)</f>
        <v>27646.381619500924</v>
      </c>
      <c r="D26" s="34">
        <f>$C26*rendimento_carteira</f>
        <v>246.05279641355821</v>
      </c>
    </row>
    <row r="27" spans="1:4" x14ac:dyDescent="0.3">
      <c r="B27" s="33" t="s">
        <v>9</v>
      </c>
      <c r="C27" s="17">
        <f>FV(taxa_mensal,$A19*12,aporte*-1)</f>
        <v>80283.790134956827</v>
      </c>
      <c r="D27" s="34">
        <f>$C27*rendimento_carteira</f>
        <v>714.52573220111572</v>
      </c>
    </row>
    <row r="28" spans="1:4" x14ac:dyDescent="0.3">
      <c r="B28" s="33" t="s">
        <v>10</v>
      </c>
      <c r="C28" s="17">
        <f>FV(taxa_mensal,$A20*12,aporte*-1)</f>
        <v>371315.47203203657</v>
      </c>
      <c r="D28" s="34">
        <f>$C28*rendimento_carteira</f>
        <v>3304.7077010851253</v>
      </c>
    </row>
    <row r="29" spans="1:4" ht="15" thickBot="1" x14ac:dyDescent="0.35">
      <c r="B29" s="35" t="s">
        <v>11</v>
      </c>
      <c r="C29" s="36">
        <f>FV(taxa_mensal,$A21*12,aporte*-1)</f>
        <v>1426315.9861515558</v>
      </c>
      <c r="D29" s="37">
        <f>$C29*rendimento_carteira</f>
        <v>12694.212276748847</v>
      </c>
    </row>
    <row r="30" spans="1:4" x14ac:dyDescent="0.3"/>
    <row r="31" spans="1:4" x14ac:dyDescent="0.3">
      <c r="B31" s="39" t="s">
        <v>18</v>
      </c>
      <c r="C31" s="40" t="s">
        <v>20</v>
      </c>
      <c r="D31" s="40"/>
    </row>
    <row r="32" spans="1:4" x14ac:dyDescent="0.3">
      <c r="B32" s="38" t="s">
        <v>19</v>
      </c>
      <c r="C32" s="52">
        <f>aporte</f>
        <v>330</v>
      </c>
      <c r="D32" s="52"/>
    </row>
    <row r="33" spans="2:4" ht="15" thickBot="1" x14ac:dyDescent="0.35"/>
    <row r="34" spans="2:4" ht="19.2" customHeight="1" x14ac:dyDescent="0.3">
      <c r="B34" s="43" t="s">
        <v>21</v>
      </c>
      <c r="C34" s="44" t="s">
        <v>22</v>
      </c>
      <c r="D34" s="45" t="s">
        <v>23</v>
      </c>
    </row>
    <row r="35" spans="2:4" x14ac:dyDescent="0.3">
      <c r="B35" s="46" t="s">
        <v>24</v>
      </c>
      <c r="C35" s="47">
        <f>VLOOKUP($C$31&amp;"-"&amp;B35,referencia!A2:D20,4,FALSE)</f>
        <v>0.3</v>
      </c>
      <c r="D35" s="48">
        <f>$C$32*C35</f>
        <v>99</v>
      </c>
    </row>
    <row r="36" spans="2:4" x14ac:dyDescent="0.3">
      <c r="B36" s="46" t="s">
        <v>25</v>
      </c>
      <c r="C36" s="47">
        <f>VLOOKUP($C$31&amp;"-"&amp;B36,referencia!A3:D21,4,FALSE)</f>
        <v>0.5</v>
      </c>
      <c r="D36" s="48">
        <f t="shared" ref="D36:D40" si="0">$C$32*C36</f>
        <v>165</v>
      </c>
    </row>
    <row r="37" spans="2:4" x14ac:dyDescent="0.3">
      <c r="B37" s="46" t="s">
        <v>26</v>
      </c>
      <c r="C37" s="47">
        <f>VLOOKUP($C$31&amp;"-"&amp;B37,referencia!A4:D22,4,FALSE)</f>
        <v>0.1</v>
      </c>
      <c r="D37" s="48">
        <f t="shared" si="0"/>
        <v>33</v>
      </c>
    </row>
    <row r="38" spans="2:4" x14ac:dyDescent="0.3">
      <c r="B38" s="46" t="s">
        <v>27</v>
      </c>
      <c r="C38" s="47">
        <f>VLOOKUP($C$31&amp;"-"&amp;B38,referencia!A5:D23,4,FALSE)</f>
        <v>0.1</v>
      </c>
      <c r="D38" s="48">
        <f t="shared" si="0"/>
        <v>33</v>
      </c>
    </row>
    <row r="39" spans="2:4" x14ac:dyDescent="0.3">
      <c r="B39" s="46" t="s">
        <v>28</v>
      </c>
      <c r="C39" s="47">
        <f>VLOOKUP($C$31&amp;"-"&amp;B39,referencia!A6:D24,4,FALSE)</f>
        <v>0</v>
      </c>
      <c r="D39" s="48">
        <f t="shared" si="0"/>
        <v>0</v>
      </c>
    </row>
    <row r="40" spans="2:4" ht="15" thickBot="1" x14ac:dyDescent="0.35">
      <c r="B40" s="49" t="s">
        <v>29</v>
      </c>
      <c r="C40" s="50">
        <f>VLOOKUP($C$31&amp;"-"&amp;B40,referencia!A7:D25,4,FALSE)</f>
        <v>0</v>
      </c>
      <c r="D40" s="51">
        <f t="shared" si="0"/>
        <v>0</v>
      </c>
    </row>
    <row r="41" spans="2:4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55" customFormat="1" hidden="1" x14ac:dyDescent="0.3"/>
    <row r="56" customFormat="1" hidden="1" x14ac:dyDescent="0.3"/>
    <row r="57" customFormat="1" hidden="1" x14ac:dyDescent="0.3"/>
    <row r="58" customFormat="1" hidden="1" x14ac:dyDescent="0.3"/>
    <row r="59" customFormat="1" hidden="1" x14ac:dyDescent="0.3"/>
    <row r="60" customFormat="1" hidden="1" x14ac:dyDescent="0.3"/>
    <row r="61" customFormat="1" hidden="1" x14ac:dyDescent="0.3"/>
  </sheetData>
  <mergeCells count="14">
    <mergeCell ref="C32:D32"/>
    <mergeCell ref="C31:D31"/>
    <mergeCell ref="B24:C24"/>
    <mergeCell ref="B11:D11"/>
    <mergeCell ref="B12:C12"/>
    <mergeCell ref="B13:C13"/>
    <mergeCell ref="B14:C14"/>
    <mergeCell ref="B15:C15"/>
    <mergeCell ref="B17:D17"/>
    <mergeCell ref="B18:C18"/>
    <mergeCell ref="B19:C19"/>
    <mergeCell ref="B20:C20"/>
    <mergeCell ref="B21:C21"/>
    <mergeCell ref="B22:C22"/>
  </mergeCells>
  <dataValidations count="1">
    <dataValidation type="list" allowBlank="1" showInputMessage="1" showErrorMessage="1" sqref="C31" xr:uid="{12279ED6-28C5-43F6-949B-3D7DC4F84B06}">
      <formula1>"Conservador, Moderado, 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1AC0-13A9-457E-9233-0A2CE7F89AC9}">
  <dimension ref="A2:H20"/>
  <sheetViews>
    <sheetView workbookViewId="0">
      <selection activeCell="D15" sqref="D15:D20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6" max="6" width="11.21875" bestFit="1" customWidth="1"/>
  </cols>
  <sheetData>
    <row r="2" spans="1:8" x14ac:dyDescent="0.3">
      <c r="A2" t="s">
        <v>33</v>
      </c>
      <c r="B2" t="s">
        <v>18</v>
      </c>
      <c r="C2" s="41" t="s">
        <v>21</v>
      </c>
      <c r="D2" t="s">
        <v>30</v>
      </c>
    </row>
    <row r="3" spans="1:8" x14ac:dyDescent="0.3">
      <c r="A3" t="str">
        <f>B3&amp;"-"&amp;C3</f>
        <v>Conservador-PAPEL</v>
      </c>
      <c r="B3" t="s">
        <v>20</v>
      </c>
      <c r="C3" s="41" t="s">
        <v>24</v>
      </c>
      <c r="D3" s="42">
        <v>0.3</v>
      </c>
      <c r="G3" s="41"/>
      <c r="H3" s="42"/>
    </row>
    <row r="4" spans="1:8" x14ac:dyDescent="0.3">
      <c r="A4" t="str">
        <f t="shared" ref="A4:A20" si="0">B4&amp;"-"&amp;C4</f>
        <v>Conservador-TIJOLO</v>
      </c>
      <c r="B4" t="s">
        <v>20</v>
      </c>
      <c r="C4" s="41" t="s">
        <v>25</v>
      </c>
      <c r="D4" s="42">
        <v>0.5</v>
      </c>
      <c r="G4" s="41"/>
      <c r="H4" s="42"/>
    </row>
    <row r="5" spans="1:8" x14ac:dyDescent="0.3">
      <c r="A5" t="str">
        <f t="shared" si="0"/>
        <v>Conservador-HÍBRIDOS</v>
      </c>
      <c r="B5" t="s">
        <v>20</v>
      </c>
      <c r="C5" s="41" t="s">
        <v>26</v>
      </c>
      <c r="D5" s="42">
        <v>0.1</v>
      </c>
      <c r="G5" s="41"/>
      <c r="H5" s="42"/>
    </row>
    <row r="6" spans="1:8" x14ac:dyDescent="0.3">
      <c r="A6" t="str">
        <f t="shared" si="0"/>
        <v>Conservador-FOFs</v>
      </c>
      <c r="B6" t="s">
        <v>20</v>
      </c>
      <c r="C6" s="41" t="s">
        <v>27</v>
      </c>
      <c r="D6" s="42">
        <v>0.1</v>
      </c>
      <c r="G6" s="41"/>
      <c r="H6" s="42"/>
    </row>
    <row r="7" spans="1:8" x14ac:dyDescent="0.3">
      <c r="A7" t="str">
        <f t="shared" si="0"/>
        <v>Conservador-DESENVOLVIMENTO</v>
      </c>
      <c r="B7" t="s">
        <v>20</v>
      </c>
      <c r="C7" s="41" t="s">
        <v>28</v>
      </c>
      <c r="D7" s="42">
        <v>0</v>
      </c>
      <c r="G7" s="41"/>
      <c r="H7" s="42"/>
    </row>
    <row r="8" spans="1:8" x14ac:dyDescent="0.3">
      <c r="A8" t="str">
        <f t="shared" si="0"/>
        <v>Conservador-HOTELARIA</v>
      </c>
      <c r="B8" t="s">
        <v>20</v>
      </c>
      <c r="C8" s="41" t="s">
        <v>29</v>
      </c>
      <c r="D8" s="42">
        <v>0</v>
      </c>
      <c r="G8" s="41"/>
      <c r="H8" s="42"/>
    </row>
    <row r="9" spans="1:8" x14ac:dyDescent="0.3">
      <c r="A9" t="str">
        <f t="shared" si="0"/>
        <v>Moderado-PAPEL</v>
      </c>
      <c r="B9" t="s">
        <v>31</v>
      </c>
      <c r="C9" s="41" t="s">
        <v>24</v>
      </c>
      <c r="D9" s="42">
        <v>0.32</v>
      </c>
    </row>
    <row r="10" spans="1:8" x14ac:dyDescent="0.3">
      <c r="A10" t="str">
        <f t="shared" si="0"/>
        <v>Moderado-TIJOLO</v>
      </c>
      <c r="B10" t="s">
        <v>31</v>
      </c>
      <c r="C10" s="41" t="s">
        <v>25</v>
      </c>
      <c r="D10" s="42">
        <v>0.35</v>
      </c>
    </row>
    <row r="11" spans="1:8" x14ac:dyDescent="0.3">
      <c r="A11" t="str">
        <f t="shared" si="0"/>
        <v>Moderado-HÍBRIDOS</v>
      </c>
      <c r="B11" t="s">
        <v>31</v>
      </c>
      <c r="C11" s="41" t="s">
        <v>26</v>
      </c>
      <c r="D11" s="42">
        <v>0.08</v>
      </c>
    </row>
    <row r="12" spans="1:8" x14ac:dyDescent="0.3">
      <c r="A12" t="str">
        <f t="shared" si="0"/>
        <v>Moderado-FOFs</v>
      </c>
      <c r="B12" t="s">
        <v>31</v>
      </c>
      <c r="C12" s="41" t="s">
        <v>27</v>
      </c>
      <c r="D12" s="42">
        <v>0.05</v>
      </c>
    </row>
    <row r="13" spans="1:8" x14ac:dyDescent="0.3">
      <c r="A13" t="str">
        <f t="shared" si="0"/>
        <v>Moderado-DESENVOLVIMENTO</v>
      </c>
      <c r="B13" t="s">
        <v>31</v>
      </c>
      <c r="C13" s="41" t="s">
        <v>28</v>
      </c>
      <c r="D13" s="42">
        <v>0.1</v>
      </c>
    </row>
    <row r="14" spans="1:8" x14ac:dyDescent="0.3">
      <c r="A14" t="str">
        <f t="shared" si="0"/>
        <v>Moderado-HOTELARIA</v>
      </c>
      <c r="B14" t="s">
        <v>31</v>
      </c>
      <c r="C14" s="41" t="s">
        <v>29</v>
      </c>
      <c r="D14" s="42">
        <v>0.1</v>
      </c>
    </row>
    <row r="15" spans="1:8" x14ac:dyDescent="0.3">
      <c r="A15" t="str">
        <f t="shared" si="0"/>
        <v>Agressivo-PAPEL</v>
      </c>
      <c r="B15" t="s">
        <v>32</v>
      </c>
      <c r="C15" s="41" t="s">
        <v>24</v>
      </c>
      <c r="D15" s="42">
        <v>0.5</v>
      </c>
    </row>
    <row r="16" spans="1:8" x14ac:dyDescent="0.3">
      <c r="A16" t="str">
        <f t="shared" si="0"/>
        <v>Agressivo-TIJOLO</v>
      </c>
      <c r="B16" t="s">
        <v>32</v>
      </c>
      <c r="C16" s="41" t="s">
        <v>25</v>
      </c>
      <c r="D16" s="42">
        <v>0.1</v>
      </c>
    </row>
    <row r="17" spans="1:4" x14ac:dyDescent="0.3">
      <c r="A17" t="str">
        <f t="shared" si="0"/>
        <v>Agressivo-HÍBRIDOS</v>
      </c>
      <c r="B17" t="s">
        <v>32</v>
      </c>
      <c r="C17" s="41" t="s">
        <v>26</v>
      </c>
      <c r="D17" s="42">
        <v>0.05</v>
      </c>
    </row>
    <row r="18" spans="1:4" x14ac:dyDescent="0.3">
      <c r="A18" t="str">
        <f t="shared" si="0"/>
        <v>Agressivo-FOFs</v>
      </c>
      <c r="B18" t="s">
        <v>32</v>
      </c>
      <c r="C18" s="41" t="s">
        <v>27</v>
      </c>
      <c r="D18" s="42">
        <v>0.05</v>
      </c>
    </row>
    <row r="19" spans="1:4" x14ac:dyDescent="0.3">
      <c r="A19" t="str">
        <f t="shared" si="0"/>
        <v>Agressivo-DESENVOLVIMENTO</v>
      </c>
      <c r="B19" t="s">
        <v>32</v>
      </c>
      <c r="C19" s="41" t="s">
        <v>28</v>
      </c>
      <c r="D19" s="42">
        <v>0.2</v>
      </c>
    </row>
    <row r="20" spans="1:4" x14ac:dyDescent="0.3">
      <c r="A20" t="str">
        <f t="shared" si="0"/>
        <v>Agressivo-HOTELARIA</v>
      </c>
      <c r="B20" t="s">
        <v>32</v>
      </c>
      <c r="C20" s="41" t="s">
        <v>29</v>
      </c>
      <c r="D20" s="4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SIMULADOR</vt:lpstr>
      <vt:lpstr>referencia</vt:lpstr>
      <vt:lpstr>aporte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Silva</dc:creator>
  <cp:lastModifiedBy>Sarah Silva</cp:lastModifiedBy>
  <dcterms:created xsi:type="dcterms:W3CDTF">2026-04-22T18:57:22Z</dcterms:created>
  <dcterms:modified xsi:type="dcterms:W3CDTF">2026-05-06T17:43:04Z</dcterms:modified>
</cp:coreProperties>
</file>